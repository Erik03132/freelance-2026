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ртовые вложения" sheetId="1" state="visible" r:id="rId1"/>
    <sheet xmlns:r="http://schemas.openxmlformats.org/officeDocument/2006/relationships" name="Ежемесячные расходы" sheetId="2" state="visible" r:id="rId2"/>
    <sheet xmlns:r="http://schemas.openxmlformats.org/officeDocument/2006/relationships" name="Доходы и услуги" sheetId="3" state="visible" r:id="rId3"/>
    <sheet xmlns:r="http://schemas.openxmlformats.org/officeDocument/2006/relationships" name="Точка безубыточности" sheetId="4" state="visible" r:id="rId4"/>
    <sheet xmlns:r="http://schemas.openxmlformats.org/officeDocument/2006/relationships" name="Прогноз 12 месяцев" sheetId="5" state="visible" r:id="rId5"/>
    <sheet xmlns:r="http://schemas.openxmlformats.org/officeDocument/2006/relationships" name="KPI и метрики" sheetId="6" state="visible" r:id="rId6"/>
    <sheet xmlns:r="http://schemas.openxmlformats.org/officeDocument/2006/relationships" name="Финансировани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  <font>
      <b val="1"/>
      <sz val="12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2" borderId="1" applyAlignment="1" pivotButton="0" quotePrefix="0" xfId="0">
      <alignment horizontal="center" wrapText="1"/>
    </xf>
    <xf numFmtId="164" fontId="2" fillId="2" borderId="1" applyAlignment="1" pivotButton="0" quotePrefix="0" xfId="0">
      <alignment horizontal="center" wrapText="1"/>
    </xf>
    <xf numFmtId="164" fontId="4" fillId="3" borderId="1" pivotButton="0" quotePrefix="0" xfId="0"/>
    <xf numFmtId="164" fontId="5" fillId="4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</cols>
  <sheetData>
    <row r="1">
      <c r="A1" s="1" t="inlineStr">
        <is>
          <t>Стартовые вложения ООО «Ветеран-Сервис»</t>
        </is>
      </c>
    </row>
    <row r="3">
      <c r="A3" s="2" t="inlineStr">
        <is>
          <t>Статья расходов</t>
        </is>
      </c>
      <c r="B3" s="2" t="inlineStr">
        <is>
          <t>Сумма (руб.)</t>
        </is>
      </c>
      <c r="C3" s="2" t="inlineStr">
        <is>
          <t>Примечание</t>
        </is>
      </c>
    </row>
    <row r="4">
      <c r="A4" s="3" t="inlineStr">
        <is>
          <t>Регистрация ООО, печать, счёт</t>
        </is>
      </c>
      <c r="B4" s="3" t="n">
        <v>10000</v>
      </c>
      <c r="C4" s="3" t="inlineStr">
        <is>
          <t>Госпошлина + нотариус + печать</t>
        </is>
      </c>
    </row>
    <row r="5">
      <c r="A5" s="3" t="inlineStr">
        <is>
          <t>Ремонт и обустройство офиса</t>
        </is>
      </c>
      <c r="B5" s="3" t="n">
        <v>80000</v>
      </c>
      <c r="C5" s="3" t="inlineStr">
        <is>
          <t>Мебель, свет, косметика</t>
        </is>
      </c>
    </row>
    <row r="6">
      <c r="A6" s="3" t="inlineStr">
        <is>
          <t>Компьютеры и оргтехника (3 шт.)</t>
        </is>
      </c>
      <c r="B6" s="3" t="n">
        <v>120000</v>
      </c>
      <c r="C6" s="3" t="inlineStr">
        <is>
          <t>Ноутбуки + принтер</t>
        </is>
      </c>
    </row>
    <row r="7">
      <c r="A7" s="3" t="inlineStr">
        <is>
          <t>Веб-сайт и интернет-магазин</t>
        </is>
      </c>
      <c r="B7" s="3" t="n">
        <v>60000</v>
      </c>
      <c r="C7" s="3" t="inlineStr">
        <is>
          <t>Разработка + домен + хостинг (год)</t>
        </is>
      </c>
    </row>
    <row r="8">
      <c r="A8" s="3" t="inlineStr">
        <is>
          <t>Закупка первой партии мерча</t>
        </is>
      </c>
      <c r="B8" s="3" t="n">
        <v>100000</v>
      </c>
      <c r="C8" s="3" t="inlineStr">
        <is>
          <t>Товар для витрины</t>
        </is>
      </c>
    </row>
    <row r="9">
      <c r="A9" s="3" t="inlineStr">
        <is>
          <t>Реклама и продвижение (старт)</t>
        </is>
      </c>
      <c r="B9" s="3" t="n">
        <v>50000</v>
      </c>
      <c r="C9" s="3" t="inlineStr">
        <is>
          <t>Контекст, соцсети, визитки</t>
        </is>
      </c>
    </row>
    <row r="10">
      <c r="A10" s="3" t="inlineStr">
        <is>
          <t>Лицензии на ПО (год)</t>
        </is>
      </c>
      <c r="B10" s="3" t="n">
        <v>30000</v>
      </c>
      <c r="C10" s="3" t="inlineStr">
        <is>
          <t>Zoom, конструктор курсов, CRM</t>
        </is>
      </c>
    </row>
    <row r="11">
      <c r="A11" s="3" t="inlineStr">
        <is>
          <t>Резервный фонд</t>
        </is>
      </c>
      <c r="B11" s="3" t="n">
        <v>50000</v>
      </c>
      <c r="C11" s="3" t="inlineStr">
        <is>
          <t>На непредвиденные расходы</t>
        </is>
      </c>
    </row>
    <row r="12">
      <c r="A12" s="4" t="inlineStr">
        <is>
          <t>ИТОГО</t>
        </is>
      </c>
      <c r="B12" s="5">
        <f>SUM(B4:B11)</f>
        <v/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0" customWidth="1" min="3" max="3"/>
    <col width="18" customWidth="1" min="4" max="4"/>
  </cols>
  <sheetData>
    <row r="1">
      <c r="A1" s="6" t="inlineStr">
        <is>
          <t>Ежемесячные расходы ООО «Ветеран-Сервис»</t>
        </is>
      </c>
    </row>
    <row r="3">
      <c r="A3" s="2" t="inlineStr">
        <is>
          <t>Статья расходов</t>
        </is>
      </c>
      <c r="B3" s="2" t="inlineStr">
        <is>
          <t>Сумма (руб./мес.)</t>
        </is>
      </c>
      <c r="C3" s="2" t="inlineStr">
        <is>
          <t>Примечание</t>
        </is>
      </c>
      <c r="D3" s="2" t="inlineStr">
        <is>
          <t>Постоянные/Переменные</t>
        </is>
      </c>
    </row>
    <row r="4">
      <c r="A4" s="3" t="inlineStr">
        <is>
          <t>ФОТ (3 человека)</t>
        </is>
      </c>
      <c r="B4" s="3" t="n">
        <v>210000</v>
      </c>
      <c r="C4" s="3" t="inlineStr">
        <is>
          <t>70 000 руб./чел.</t>
        </is>
      </c>
      <c r="D4" s="3" t="inlineStr">
        <is>
          <t>Постоянные</t>
        </is>
      </c>
    </row>
    <row r="5">
      <c r="A5" s="3" t="inlineStr">
        <is>
          <t>— Юрист-консультант</t>
        </is>
      </c>
      <c r="B5" s="3" t="n">
        <v>70000</v>
      </c>
      <c r="C5" s="3" t="inlineStr">
        <is>
          <t>Оклад + премия</t>
        </is>
      </c>
      <c r="D5" s="3" t="inlineStr"/>
    </row>
    <row r="6">
      <c r="A6" s="3" t="inlineStr">
        <is>
          <t>— Психолог</t>
        </is>
      </c>
      <c r="B6" s="3" t="n">
        <v>70000</v>
      </c>
      <c r="C6" s="3" t="inlineStr">
        <is>
          <t>Оклад + премия</t>
        </is>
      </c>
      <c r="D6" s="3" t="inlineStr"/>
    </row>
    <row r="7">
      <c r="A7" s="3" t="inlineStr">
        <is>
          <t>— Менеджер (магазин + курсы)</t>
        </is>
      </c>
      <c r="B7" s="3" t="n">
        <v>70000</v>
      </c>
      <c r="C7" s="3" t="inlineStr">
        <is>
          <t>Оклад + премия</t>
        </is>
      </c>
      <c r="D7" s="3" t="inlineStr"/>
    </row>
    <row r="8">
      <c r="A8" s="3" t="inlineStr">
        <is>
          <t>Налоги на ФОТ (УСН 6% + взносы ~30%)</t>
        </is>
      </c>
      <c r="B8" s="3" t="n">
        <v>42000</v>
      </c>
      <c r="C8" s="3" t="inlineStr">
        <is>
          <t>Зависит от системы налогообложения</t>
        </is>
      </c>
      <c r="D8" s="3" t="inlineStr">
        <is>
          <t>Постоянные</t>
        </is>
      </c>
    </row>
    <row r="9">
      <c r="A9" s="3" t="inlineStr">
        <is>
          <t>Аренда офиса (30 м², Раменский район)</t>
        </is>
      </c>
      <c r="B9" s="3" t="n">
        <v>25000</v>
      </c>
      <c r="C9" s="3" t="inlineStr">
        <is>
          <t>~800–900 руб./м²</t>
        </is>
      </c>
      <c r="D9" s="3" t="inlineStr">
        <is>
          <t>Постоянные</t>
        </is>
      </c>
    </row>
    <row r="10">
      <c r="A10" s="3" t="inlineStr">
        <is>
          <t>Коммунальные услуги</t>
        </is>
      </c>
      <c r="B10" s="3" t="n">
        <v>5000</v>
      </c>
      <c r="C10" s="3" t="inlineStr">
        <is>
          <t>Электричество, вода, уборка</t>
        </is>
      </c>
      <c r="D10" s="3" t="inlineStr">
        <is>
          <t>Постоянные</t>
        </is>
      </c>
    </row>
    <row r="11">
      <c r="A11" s="3" t="inlineStr">
        <is>
          <t>Интернет и связь</t>
        </is>
      </c>
      <c r="B11" s="3" t="n">
        <v>3000</v>
      </c>
      <c r="C11" s="3" t="inlineStr">
        <is>
          <t>Оптика + мобильная связь</t>
        </is>
      </c>
      <c r="D11" s="3" t="inlineStr">
        <is>
          <t>Постоянные</t>
        </is>
      </c>
    </row>
    <row r="12">
      <c r="A12" s="3" t="inlineStr">
        <is>
          <t>Бухгалтерское сопровождение</t>
        </is>
      </c>
      <c r="B12" s="3" t="n">
        <v>10000</v>
      </c>
      <c r="C12" s="3" t="inlineStr">
        <is>
          <t>Аутсорсинг</t>
        </is>
      </c>
      <c r="D12" s="3" t="inlineStr">
        <is>
          <t>Постоянные</t>
        </is>
      </c>
    </row>
    <row r="13">
      <c r="A13" s="3" t="inlineStr">
        <is>
          <t>Хостинг, домен, поддержка сайта</t>
        </is>
      </c>
      <c r="B13" s="3" t="n">
        <v>5000</v>
      </c>
      <c r="C13" s="3" t="inlineStr">
        <is>
          <t>Ежемесячно</t>
        </is>
      </c>
      <c r="D13" s="3" t="inlineStr">
        <is>
          <t>Постоянные</t>
        </is>
      </c>
    </row>
    <row r="14">
      <c r="A14" s="3" t="inlineStr">
        <is>
          <t>Реклама и продвижение</t>
        </is>
      </c>
      <c r="B14" s="3" t="n">
        <v>30000</v>
      </c>
      <c r="C14" s="3" t="inlineStr">
        <is>
          <t>Контекст, таргет, SEO</t>
        </is>
      </c>
      <c r="D14" s="3" t="inlineStr">
        <is>
          <t>Постоянные</t>
        </is>
      </c>
    </row>
    <row r="15">
      <c r="A15" s="3" t="inlineStr">
        <is>
          <t>Закупка мерча (по факту продаж)</t>
        </is>
      </c>
      <c r="B15" s="3" t="n">
        <v>64000</v>
      </c>
      <c r="C15" s="3" t="inlineStr">
        <is>
          <t>Себестоимость товаров</t>
        </is>
      </c>
      <c r="D15" s="3" t="inlineStr">
        <is>
          <t>Переменные</t>
        </is>
      </c>
    </row>
    <row r="16">
      <c r="A16" s="3" t="inlineStr">
        <is>
          <t>Амортизация оборудования</t>
        </is>
      </c>
      <c r="B16" s="3" t="n">
        <v>5000</v>
      </c>
      <c r="C16" s="3" t="inlineStr">
        <is>
          <t>3 года</t>
        </is>
      </c>
      <c r="D16" s="3" t="inlineStr">
        <is>
          <t>Постоянные</t>
        </is>
      </c>
    </row>
    <row r="17">
      <c r="A17" s="3" t="inlineStr">
        <is>
          <t>Прочие расходы</t>
        </is>
      </c>
      <c r="B17" s="3" t="n">
        <v>10000</v>
      </c>
      <c r="C17" s="3" t="inlineStr">
        <is>
          <t>Канцелярия, вода, кофе</t>
        </is>
      </c>
      <c r="D17" s="3" t="inlineStr">
        <is>
          <t>Постоянные</t>
        </is>
      </c>
    </row>
    <row r="18">
      <c r="A18" s="4" t="inlineStr">
        <is>
          <t>ИТОГО ежемесячно</t>
        </is>
      </c>
      <c r="B18" s="5">
        <f>SUM(B4:B17)</f>
        <v/>
      </c>
      <c r="C18" t="inlineStr"/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6" t="inlineStr">
        <is>
          <t>Юридические услуги</t>
        </is>
      </c>
    </row>
    <row r="3">
      <c r="A3" s="2" t="inlineStr">
        <is>
          <t>Услуга</t>
        </is>
      </c>
      <c r="B3" s="2" t="inlineStr">
        <is>
          <t>Цена (руб.)</t>
        </is>
      </c>
      <c r="C3" s="2" t="inlineStr">
        <is>
          <t>План в месяц (шт.)</t>
        </is>
      </c>
      <c r="D3" s="2" t="inlineStr">
        <is>
          <t>Выручка (руб.)</t>
        </is>
      </c>
      <c r="E3" s="2" t="inlineStr">
        <is>
          <t>Себестоимость (%)</t>
        </is>
      </c>
      <c r="F3" s="2" t="inlineStr">
        <is>
          <t>Валовая прибыль</t>
        </is>
      </c>
    </row>
    <row r="4">
      <c r="A4" s="3" t="inlineStr">
        <is>
          <t>Разовая консультация</t>
        </is>
      </c>
      <c r="B4" s="3" t="n">
        <v>3000</v>
      </c>
      <c r="C4" s="3" t="n">
        <v>20</v>
      </c>
      <c r="D4" s="3">
        <f>B4*C4</f>
        <v/>
      </c>
      <c r="E4" s="3" t="n">
        <v>17</v>
      </c>
      <c r="F4" s="3">
        <f>D4*(1-E4/100)</f>
        <v/>
      </c>
    </row>
    <row r="5">
      <c r="A5" s="3" t="inlineStr">
        <is>
          <t>Письменное заключение</t>
        </is>
      </c>
      <c r="B5" s="3" t="n">
        <v>5000</v>
      </c>
      <c r="C5" s="3" t="n">
        <v>10</v>
      </c>
      <c r="D5" s="3">
        <f>B5*C5</f>
        <v/>
      </c>
      <c r="E5" s="3" t="n">
        <v>6</v>
      </c>
      <c r="F5" s="3">
        <f>D5*(1-E5/100)</f>
        <v/>
      </c>
    </row>
    <row r="6">
      <c r="A6" s="3" t="inlineStr">
        <is>
          <t>Сопровождение дела</t>
        </is>
      </c>
      <c r="B6" s="3" t="n">
        <v>25000</v>
      </c>
      <c r="C6" s="3" t="n">
        <v>3</v>
      </c>
      <c r="D6" s="3">
        <f>B6*C6</f>
        <v/>
      </c>
      <c r="E6" s="3" t="n">
        <v>8</v>
      </c>
      <c r="F6" s="3">
        <f>D6*(1-E6/100)</f>
        <v/>
      </c>
    </row>
    <row r="7">
      <c r="A7" s="3" t="inlineStr">
        <is>
          <t>Подготовка документов</t>
        </is>
      </c>
      <c r="B7" s="3" t="n">
        <v>7000</v>
      </c>
      <c r="C7" s="3" t="n">
        <v>8</v>
      </c>
      <c r="D7" s="3">
        <f>B7*C7</f>
        <v/>
      </c>
      <c r="E7" s="3" t="n">
        <v>7</v>
      </c>
      <c r="F7" s="3">
        <f>D7*(1-E7/100)</f>
        <v/>
      </c>
    </row>
    <row r="8">
      <c r="A8" s="3" t="inlineStr">
        <is>
          <t>Представительство в суде</t>
        </is>
      </c>
      <c r="B8" s="3" t="n">
        <v>15000</v>
      </c>
      <c r="C8" s="3" t="n">
        <v>4</v>
      </c>
      <c r="D8" s="3">
        <f>B8*C8</f>
        <v/>
      </c>
      <c r="E8" s="3" t="n">
        <v>7</v>
      </c>
      <c r="F8" s="3">
        <f>D8*(1-E8/100)</f>
        <v/>
      </c>
    </row>
    <row r="9">
      <c r="A9" s="3" t="inlineStr">
        <is>
          <t>ИТОГО юридические</t>
        </is>
      </c>
      <c r="D9" s="3">
        <f>SUM(D4:D8)</f>
        <v/>
      </c>
      <c r="F9" s="3">
        <f>SUM(F4:F8)</f>
        <v/>
      </c>
    </row>
    <row r="10"/>
    <row r="11"/>
    <row r="12">
      <c r="A12" s="7" t="inlineStr">
        <is>
          <t>Психологическая помощь</t>
        </is>
      </c>
    </row>
    <row r="13">
      <c r="A13" s="8" t="n"/>
      <c r="B13" s="8" t="n"/>
      <c r="C13" s="8" t="n"/>
      <c r="D13" s="8" t="n"/>
      <c r="E13" s="8" t="n"/>
      <c r="F13" s="8" t="n"/>
    </row>
    <row r="14">
      <c r="A14" s="3" t="inlineStr">
        <is>
          <t>Услуга</t>
        </is>
      </c>
      <c r="B14" s="3" t="inlineStr">
        <is>
          <t>Цена (руб.)</t>
        </is>
      </c>
      <c r="C14" s="3" t="inlineStr">
        <is>
          <t>План в месяц (шт./чел.)</t>
        </is>
      </c>
      <c r="D14" s="3" t="inlineStr">
        <is>
          <t>Выручка (руб.)</t>
        </is>
      </c>
      <c r="E14" s="3" t="inlineStr">
        <is>
          <t>Себестоимость (%)</t>
        </is>
      </c>
      <c r="F14" s="3" t="inlineStr">
        <is>
          <t>Валовая прибыль</t>
        </is>
      </c>
    </row>
    <row r="15">
      <c r="A15" s="3" t="inlineStr">
        <is>
          <t>Индивидуальная сессия</t>
        </is>
      </c>
      <c r="B15" s="3" t="n">
        <v>2500</v>
      </c>
      <c r="C15" s="3" t="n">
        <v>40</v>
      </c>
      <c r="D15" s="3">
        <f>B15*C15</f>
        <v/>
      </c>
      <c r="E15" s="3" t="n">
        <v>8</v>
      </c>
      <c r="F15" s="3">
        <f>D15*(1-E15/100)</f>
        <v/>
      </c>
    </row>
    <row r="16">
      <c r="A16" s="3" t="inlineStr">
        <is>
          <t>Семейная консультация</t>
        </is>
      </c>
      <c r="B16" s="3" t="n">
        <v>4000</v>
      </c>
      <c r="C16" s="3" t="n">
        <v>8</v>
      </c>
      <c r="D16" s="3">
        <f>B16*C16</f>
        <v/>
      </c>
      <c r="E16" s="3" t="n">
        <v>8</v>
      </c>
      <c r="F16" s="3">
        <f>D16*(1-E16/100)</f>
        <v/>
      </c>
    </row>
    <row r="17">
      <c r="A17" s="3" t="inlineStr">
        <is>
          <t>Групповая терапия</t>
        </is>
      </c>
      <c r="B17" s="3" t="n">
        <v>1500</v>
      </c>
      <c r="C17" s="3" t="n">
        <v>12</v>
      </c>
      <c r="D17" s="3">
        <f>B17*C17</f>
        <v/>
      </c>
      <c r="E17" s="3" t="n">
        <v>33</v>
      </c>
      <c r="F17" s="3">
        <f>D17*(1-E17/100)</f>
        <v/>
      </c>
    </row>
    <row r="18">
      <c r="A18" s="3" t="inlineStr">
        <is>
          <t>Курс адаптации (4 сессии)</t>
        </is>
      </c>
      <c r="B18" s="3" t="n">
        <v>8000</v>
      </c>
      <c r="C18" s="3" t="n">
        <v>5</v>
      </c>
      <c r="D18" s="3">
        <f>B18*C18</f>
        <v/>
      </c>
      <c r="E18" s="3" t="n">
        <v>13</v>
      </c>
      <c r="F18" s="3">
        <f>D18*(1-E18/100)</f>
        <v/>
      </c>
    </row>
    <row r="19">
      <c r="A19" s="3" t="inlineStr">
        <is>
          <t>ИТОГО психология</t>
        </is>
      </c>
      <c r="D19" s="3">
        <f>SUM(D15:D18)</f>
        <v/>
      </c>
      <c r="F19" s="3">
        <f>SUM(F15:F18)</f>
        <v/>
      </c>
    </row>
    <row r="20"/>
    <row r="21"/>
    <row r="22">
      <c r="A22" s="7" t="inlineStr">
        <is>
          <t>Онлайн-курсы</t>
        </is>
      </c>
    </row>
    <row r="23">
      <c r="A23" s="8" t="n"/>
      <c r="B23" s="8" t="n"/>
      <c r="C23" s="8" t="n"/>
      <c r="D23" s="8" t="n"/>
      <c r="E23" s="8" t="n"/>
      <c r="F23" s="8" t="n"/>
    </row>
    <row r="24">
      <c r="A24" s="3" t="inlineStr">
        <is>
          <t>Курс</t>
        </is>
      </c>
      <c r="B24" s="3" t="inlineStr">
        <is>
          <t>Цена (руб.)</t>
        </is>
      </c>
      <c r="C24" s="3" t="inlineStr">
        <is>
          <t>План в месяц (студентов)</t>
        </is>
      </c>
      <c r="D24" s="3" t="inlineStr">
        <is>
          <t>Выручка (руб.)</t>
        </is>
      </c>
      <c r="E24" s="3" t="inlineStr">
        <is>
          <t>Себестоимость (%)</t>
        </is>
      </c>
      <c r="F24" s="3" t="inlineStr">
        <is>
          <t>Валовая прибыль</t>
        </is>
      </c>
    </row>
    <row r="25">
      <c r="A25" s="3" t="inlineStr">
        <is>
          <t>Стрессоустойчивость и лидерство</t>
        </is>
      </c>
      <c r="B25" s="3" t="n">
        <v>12000</v>
      </c>
      <c r="C25" s="3" t="n">
        <v>8</v>
      </c>
      <c r="D25" s="3">
        <f>B25*C25</f>
        <v/>
      </c>
      <c r="E25" s="3" t="n">
        <v>17</v>
      </c>
      <c r="F25" s="3">
        <f>D25*(1-E25/100)</f>
        <v/>
      </c>
    </row>
    <row r="26">
      <c r="A26" s="3" t="inlineStr">
        <is>
          <t>HR для малого бизнеса</t>
        </is>
      </c>
      <c r="B26" s="3" t="n">
        <v>18000</v>
      </c>
      <c r="C26" s="3" t="n">
        <v>5</v>
      </c>
      <c r="D26" s="3">
        <f>B26*C26</f>
        <v/>
      </c>
      <c r="E26" s="3" t="n">
        <v>17</v>
      </c>
      <c r="F26" s="3">
        <f>D26*(1-E26/100)</f>
        <v/>
      </c>
    </row>
    <row r="27">
      <c r="A27" s="3" t="inlineStr">
        <is>
          <t>Безопасность и ЧС</t>
        </is>
      </c>
      <c r="B27" s="3" t="n">
        <v>10000</v>
      </c>
      <c r="C27" s="3" t="n">
        <v>6</v>
      </c>
      <c r="D27" s="3">
        <f>B27*C27</f>
        <v/>
      </c>
      <c r="E27" s="3" t="n">
        <v>15</v>
      </c>
      <c r="F27" s="3">
        <f>D27*(1-E27/100)</f>
        <v/>
      </c>
    </row>
    <row r="28">
      <c r="A28" s="3" t="inlineStr">
        <is>
          <t>Основы предпринимательства</t>
        </is>
      </c>
      <c r="B28" s="3" t="n">
        <v>20000</v>
      </c>
      <c r="C28" s="3" t="n">
        <v>4</v>
      </c>
      <c r="D28" s="3">
        <f>B28*C28</f>
        <v/>
      </c>
      <c r="E28" s="3" t="n">
        <v>20</v>
      </c>
      <c r="F28" s="3">
        <f>D28*(1-E28/100)</f>
        <v/>
      </c>
    </row>
    <row r="29">
      <c r="A29" s="3" t="inlineStr">
        <is>
          <t>ИТОГО курсы</t>
        </is>
      </c>
      <c r="D29" s="3">
        <f>SUM(D25:D28)</f>
        <v/>
      </c>
      <c r="F29" s="3">
        <f>SUM(F25:F28)</f>
        <v/>
      </c>
    </row>
    <row r="30"/>
    <row r="31"/>
    <row r="32">
      <c r="A32" s="7" t="inlineStr">
        <is>
          <t>Онлайн-магазин мерча</t>
        </is>
      </c>
    </row>
    <row r="33">
      <c r="A33" s="8" t="n"/>
      <c r="B33" s="8" t="n"/>
      <c r="C33" s="8" t="n"/>
      <c r="D33" s="8" t="n"/>
      <c r="E33" s="8" t="n"/>
      <c r="F33" s="8" t="n"/>
    </row>
    <row r="34">
      <c r="A34" s="3" t="inlineStr">
        <is>
          <t>Товар</t>
        </is>
      </c>
      <c r="B34" s="3" t="inlineStr">
        <is>
          <t>Цена (руб.)</t>
        </is>
      </c>
      <c r="C34" s="3" t="inlineStr">
        <is>
          <t>План в месяц (шт.)</t>
        </is>
      </c>
      <c r="D34" s="3" t="inlineStr">
        <is>
          <t>Выручка (руб.)</t>
        </is>
      </c>
      <c r="E34" s="3" t="inlineStr">
        <is>
          <t>Себестоимость (руб./шт.)</t>
        </is>
      </c>
      <c r="F34" s="3" t="inlineStr">
        <is>
          <t>Валовая прибыль</t>
        </is>
      </c>
    </row>
    <row r="35">
      <c r="A35" s="3" t="inlineStr">
        <is>
          <t>Шеврон (кастомный)</t>
        </is>
      </c>
      <c r="B35" s="3" t="n">
        <v>450</v>
      </c>
      <c r="C35" s="3" t="n">
        <v>100</v>
      </c>
      <c r="D35" s="3">
        <f>B35*C35</f>
        <v/>
      </c>
      <c r="E35" s="3" t="n">
        <v>150</v>
      </c>
      <c r="F35" s="3">
        <f>D35-(E35*C35)</f>
        <v/>
      </c>
    </row>
    <row r="36">
      <c r="A36" s="3" t="inlineStr">
        <is>
          <t>Патч на рюкзак</t>
        </is>
      </c>
      <c r="B36" s="3" t="n">
        <v>300</v>
      </c>
      <c r="C36" s="3" t="n">
        <v>80</v>
      </c>
      <c r="D36" s="3">
        <f>B36*C36</f>
        <v/>
      </c>
      <c r="E36" s="3" t="n">
        <v>100</v>
      </c>
      <c r="F36" s="3">
        <f>D36-(E36*C36)</f>
        <v/>
      </c>
    </row>
    <row r="37">
      <c r="A37" s="3" t="inlineStr">
        <is>
          <t>Футболка с принтом</t>
        </is>
      </c>
      <c r="B37" s="3" t="n">
        <v>1500</v>
      </c>
      <c r="C37" s="3" t="n">
        <v>40</v>
      </c>
      <c r="D37" s="3">
        <f>B37*C37</f>
        <v/>
      </c>
      <c r="E37" s="3" t="n">
        <v>600</v>
      </c>
      <c r="F37" s="3">
        <f>D37-(E37*C37)</f>
        <v/>
      </c>
    </row>
    <row r="38">
      <c r="A38" s="3" t="inlineStr">
        <is>
          <t>Худи с символикой</t>
        </is>
      </c>
      <c r="B38" s="3" t="n">
        <v>3000</v>
      </c>
      <c r="C38" s="3" t="n">
        <v>15</v>
      </c>
      <c r="D38" s="3">
        <f>B38*C38</f>
        <v/>
      </c>
      <c r="E38" s="3" t="n">
        <v>1200</v>
      </c>
      <c r="F38" s="3">
        <f>D38-(E38*C38)</f>
        <v/>
      </c>
    </row>
    <row r="39">
      <c r="A39" s="3" t="inlineStr">
        <is>
          <t>Кепка/бейсболка</t>
        </is>
      </c>
      <c r="B39" s="3" t="n">
        <v>1000</v>
      </c>
      <c r="C39" s="3" t="n">
        <v>25</v>
      </c>
      <c r="D39" s="3">
        <f>B39*C39</f>
        <v/>
      </c>
      <c r="E39" s="3" t="n">
        <v>400</v>
      </c>
      <c r="F39" s="3">
        <f>D39-(E39*C39)</f>
        <v/>
      </c>
    </row>
    <row r="40">
      <c r="A40" s="3" t="inlineStr">
        <is>
          <t>Набор (шеврон+патч+футболка)</t>
        </is>
      </c>
      <c r="B40" s="3" t="n">
        <v>2200</v>
      </c>
      <c r="C40" s="3" t="n">
        <v>20</v>
      </c>
      <c r="D40" s="3">
        <f>B40*C40</f>
        <v/>
      </c>
      <c r="E40" s="3" t="n">
        <v>850</v>
      </c>
      <c r="F40" s="3">
        <f>D40-(E40*C40)</f>
        <v/>
      </c>
    </row>
    <row r="41">
      <c r="A41" s="3" t="inlineStr">
        <is>
          <t>ИТОГО магазин</t>
        </is>
      </c>
      <c r="D41" s="3">
        <f>SUM(D35:D40)</f>
        <v/>
      </c>
      <c r="F41" s="3">
        <f>SUM(F35:F40)</f>
        <v/>
      </c>
    </row>
    <row r="42"/>
    <row r="43"/>
    <row r="44">
      <c r="A44" s="9" t="inlineStr">
        <is>
          <t>ОБЩАЯ ВЫРУЧКА</t>
        </is>
      </c>
      <c r="D44" s="5">
        <f>D9+D19+D29+D41</f>
        <v/>
      </c>
      <c r="E44" s="3" t="inlineStr">
        <is>
          <t>Общая валовая прибыль</t>
        </is>
      </c>
      <c r="F44" s="5">
        <f>F9+F19+F29+F41</f>
        <v/>
      </c>
    </row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</cols>
  <sheetData>
    <row r="1">
      <c r="A1" s="6" t="inlineStr">
        <is>
          <t>Расчёт точки безубыточности</t>
        </is>
      </c>
    </row>
    <row r="3">
      <c r="A3" s="2" t="inlineStr">
        <is>
          <t>Показатель</t>
        </is>
      </c>
      <c r="B3" s="2" t="inlineStr">
        <is>
          <t>Значение</t>
        </is>
      </c>
      <c r="C3" s="2" t="inlineStr">
        <is>
          <t>Формула/Примечание</t>
        </is>
      </c>
    </row>
    <row r="4">
      <c r="A4" s="3" t="inlineStr">
        <is>
          <t>Постоянные расходы (в месяц)</t>
        </is>
      </c>
      <c r="B4" s="10">
        <f>'Ежемесячные расходы'!B18-'Ежемесячные расходы'!B15</f>
        <v/>
      </c>
      <c r="C4" s="3" t="inlineStr">
        <is>
          <t>Из листа расходов (без закупки мерча)</t>
        </is>
      </c>
    </row>
    <row r="5">
      <c r="A5" s="3" t="inlineStr">
        <is>
          <t>Средняя маржинальность</t>
        </is>
      </c>
      <c r="B5" s="11">
        <f>'Доходы и услуги'!F44/'Доходы и услуги'!D44</f>
        <v/>
      </c>
      <c r="C5" s="3" t="inlineStr">
        <is>
          <t>Валовая прибыль / Выручка</t>
        </is>
      </c>
    </row>
    <row r="6">
      <c r="A6" s="3" t="inlineStr">
        <is>
          <t>Точка безубыточности (выручка)</t>
        </is>
      </c>
      <c r="B6" s="5">
        <f>B4/B5</f>
        <v/>
      </c>
      <c r="C6" s="3" t="inlineStr">
        <is>
          <t>Постоянные расходы / Маржинальность</t>
        </is>
      </c>
    </row>
    <row r="7"/>
    <row r="8">
      <c r="A8" s="3" t="inlineStr">
        <is>
          <t>Расчёт постоянных расходов:</t>
        </is>
      </c>
    </row>
    <row r="9">
      <c r="A9" s="3" t="inlineStr">
        <is>
          <t>ФОТ + налоги</t>
        </is>
      </c>
      <c r="C9" s="3" t="inlineStr">
        <is>
          <t>210 000 + 42 000</t>
        </is>
      </c>
    </row>
    <row r="10">
      <c r="A10" s="3" t="inlineStr">
        <is>
          <t>Аренда + коммунальные</t>
        </is>
      </c>
      <c r="C10" s="3" t="inlineStr">
        <is>
          <t>25 000 + 5 000</t>
        </is>
      </c>
    </row>
    <row r="11">
      <c r="A11" s="3" t="inlineStr">
        <is>
          <t>Интернет + связь</t>
        </is>
      </c>
      <c r="C11" s="3" t="inlineStr">
        <is>
          <t>3 000</t>
        </is>
      </c>
    </row>
    <row r="12">
      <c r="A12" s="3" t="inlineStr">
        <is>
          <t>Бухгалтерия</t>
        </is>
      </c>
      <c r="C12" s="3" t="inlineStr">
        <is>
          <t>10 000</t>
        </is>
      </c>
    </row>
    <row r="13">
      <c r="A13" s="3" t="inlineStr">
        <is>
          <t>Хостинг и ПО</t>
        </is>
      </c>
      <c r="B13" s="10">
        <f>SUM(B7:B12)</f>
        <v/>
      </c>
      <c r="C13" s="3" t="inlineStr">
        <is>
          <t>5 000</t>
        </is>
      </c>
    </row>
    <row r="14">
      <c r="A14" s="3" t="inlineStr">
        <is>
          <t>Реклама</t>
        </is>
      </c>
      <c r="C14" s="3" t="inlineStr">
        <is>
          <t>30 000</t>
        </is>
      </c>
    </row>
    <row r="15">
      <c r="A15" s="3" t="inlineStr">
        <is>
          <t>Прочие</t>
        </is>
      </c>
      <c r="C15" s="3" t="inlineStr">
        <is>
          <t>10 000</t>
        </is>
      </c>
    </row>
    <row r="16">
      <c r="A16" s="3" t="inlineStr">
        <is>
          <t>ИТОГО постоянные</t>
        </is>
      </c>
      <c r="C16" s="3" t="inlineStr"/>
    </row>
    <row r="17">
      <c r="B17" s="10">
        <f>'Доходы и услуги'!D44</f>
        <v/>
      </c>
    </row>
    <row r="18">
      <c r="A18" s="3" t="inlineStr">
        <is>
          <t>Расчёт маржинальности:</t>
        </is>
      </c>
      <c r="B18" s="10">
        <f>'Доходы и услуги'!F44</f>
        <v/>
      </c>
    </row>
    <row r="19">
      <c r="A19" s="3" t="inlineStr">
        <is>
          <t>Общая выручка</t>
        </is>
      </c>
      <c r="B19" s="11">
        <f>B18/B17</f>
        <v/>
      </c>
      <c r="C19" s="3" t="inlineStr">
        <is>
          <t>Из листа доходов</t>
        </is>
      </c>
    </row>
    <row r="20">
      <c r="A20" t="inlineStr">
        <is>
          <t>Общая валовая прибыль</t>
        </is>
      </c>
      <c r="C20" t="inlineStr">
        <is>
          <t>Из листа доходов</t>
        </is>
      </c>
    </row>
    <row r="21">
      <c r="A21" t="inlineStr">
        <is>
          <t>Маржинальность %</t>
        </is>
      </c>
      <c r="C21" t="inlineStr">
        <is>
          <t>Валовая прибыль / Выручка *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6" t="inlineStr">
        <is>
          <t>Прогноз доходов и расходов на 12 месяцев</t>
        </is>
      </c>
    </row>
    <row r="3">
      <c r="A3" s="12" t="inlineStr">
        <is>
          <t>Показатель</t>
        </is>
      </c>
      <c r="B3" s="12" t="inlineStr">
        <is>
          <t>Месяц 1</t>
        </is>
      </c>
      <c r="C3" s="12" t="inlineStr">
        <is>
          <t>Месяц 2</t>
        </is>
      </c>
      <c r="D3" s="12" t="inlineStr">
        <is>
          <t>Месяц 3</t>
        </is>
      </c>
      <c r="E3" s="12" t="inlineStr">
        <is>
          <t>Месяц 4</t>
        </is>
      </c>
      <c r="F3" s="12" t="inlineStr">
        <is>
          <t>Месяц 5</t>
        </is>
      </c>
      <c r="G3" s="12" t="inlineStr">
        <is>
          <t>Месяц 6</t>
        </is>
      </c>
      <c r="H3" s="12" t="inlineStr">
        <is>
          <t>Месяц 7</t>
        </is>
      </c>
      <c r="I3" s="12" t="inlineStr">
        <is>
          <t>Месяц 8</t>
        </is>
      </c>
      <c r="J3" s="12" t="inlineStr">
        <is>
          <t>Месяц 9</t>
        </is>
      </c>
      <c r="K3" s="12" t="inlineStr">
        <is>
          <t>Месяц 10</t>
        </is>
      </c>
      <c r="L3" s="12" t="inlineStr">
        <is>
          <t>Месяц 11</t>
        </is>
      </c>
      <c r="M3" s="12" t="inlineStr">
        <is>
          <t>Месяц 12</t>
        </is>
      </c>
      <c r="N3" s="12" t="inlineStr">
        <is>
          <t>ИТОГО год</t>
        </is>
      </c>
      <c r="O3" s="13">
        <f>SUM(B3:M3)</f>
        <v/>
      </c>
    </row>
    <row r="4">
      <c r="A4" s="3" t="inlineStr">
        <is>
          <t>Выручка всего</t>
        </is>
      </c>
      <c r="B4" s="3" t="n">
        <v>200000</v>
      </c>
      <c r="C4" s="3" t="n">
        <v>300000</v>
      </c>
      <c r="D4" s="3" t="n">
        <v>400000</v>
      </c>
      <c r="E4" s="3" t="n">
        <v>500000</v>
      </c>
      <c r="F4" s="3" t="n">
        <v>600000</v>
      </c>
      <c r="G4" s="3" t="n">
        <v>650000</v>
      </c>
      <c r="H4" s="3" t="n">
        <v>700000</v>
      </c>
      <c r="I4" s="3" t="n">
        <v>730000</v>
      </c>
      <c r="J4" s="3" t="n">
        <v>760000</v>
      </c>
      <c r="K4" s="3" t="n">
        <v>780000</v>
      </c>
      <c r="L4" s="3" t="n">
        <v>790000</v>
      </c>
      <c r="M4" s="3" t="n">
        <v>800000</v>
      </c>
      <c r="O4" s="10">
        <f>SUM(B4:M4)</f>
        <v/>
      </c>
    </row>
    <row r="5">
      <c r="A5" s="3" t="inlineStr">
        <is>
          <t>— Юр. услуги</t>
        </is>
      </c>
      <c r="B5" s="3" t="n">
        <v>50000</v>
      </c>
      <c r="C5" s="3" t="n">
        <v>80000</v>
      </c>
      <c r="D5" s="3" t="n">
        <v>120000</v>
      </c>
      <c r="E5" s="3" t="n">
        <v>150000</v>
      </c>
      <c r="F5" s="3" t="n">
        <v>166000</v>
      </c>
      <c r="G5" s="3" t="n">
        <v>170000</v>
      </c>
      <c r="H5" s="3" t="n">
        <v>180000</v>
      </c>
      <c r="I5" s="3" t="n">
        <v>185000</v>
      </c>
      <c r="J5" s="3" t="n">
        <v>190000</v>
      </c>
      <c r="K5" s="3" t="n">
        <v>195000</v>
      </c>
      <c r="L5" s="3" t="n">
        <v>198000</v>
      </c>
      <c r="M5" s="3" t="n">
        <v>200000</v>
      </c>
      <c r="O5" s="10">
        <f>SUM(B5:M5)</f>
        <v/>
      </c>
    </row>
    <row r="6">
      <c r="A6" s="3" t="inlineStr">
        <is>
          <t>— Психология</t>
        </is>
      </c>
      <c r="B6" s="3" t="n">
        <v>50000</v>
      </c>
      <c r="C6" s="3" t="n">
        <v>80000</v>
      </c>
      <c r="D6" s="3" t="n">
        <v>110000</v>
      </c>
      <c r="E6" s="3" t="n">
        <v>140000</v>
      </c>
      <c r="F6" s="3" t="n">
        <v>158000</v>
      </c>
      <c r="G6" s="3" t="n">
        <v>165000</v>
      </c>
      <c r="H6" s="3" t="n">
        <v>170000</v>
      </c>
      <c r="I6" s="3" t="n">
        <v>175000</v>
      </c>
      <c r="J6" s="3" t="n">
        <v>180000</v>
      </c>
      <c r="K6" s="3" t="n">
        <v>185000</v>
      </c>
      <c r="L6" s="3" t="n">
        <v>188000</v>
      </c>
      <c r="M6" s="3" t="n">
        <v>190000</v>
      </c>
      <c r="O6" s="10">
        <f>SUM(B6:M6)</f>
        <v/>
      </c>
    </row>
    <row r="7">
      <c r="A7" s="3" t="inlineStr">
        <is>
          <t>— Курсы</t>
        </is>
      </c>
      <c r="B7" s="3" t="n">
        <v>60000</v>
      </c>
      <c r="C7" s="3" t="n">
        <v>100000</v>
      </c>
      <c r="D7" s="3" t="n">
        <v>130000</v>
      </c>
      <c r="E7" s="3" t="n">
        <v>170000</v>
      </c>
      <c r="F7" s="3" t="n">
        <v>254000</v>
      </c>
      <c r="G7" s="3" t="n">
        <v>280000</v>
      </c>
      <c r="H7" s="3" t="n">
        <v>300000</v>
      </c>
      <c r="I7" s="3" t="n">
        <v>320000</v>
      </c>
      <c r="J7" s="3" t="n">
        <v>340000</v>
      </c>
      <c r="K7" s="3" t="n">
        <v>350000</v>
      </c>
      <c r="L7" s="3" t="n">
        <v>352000</v>
      </c>
      <c r="M7" s="3" t="n">
        <v>350000</v>
      </c>
      <c r="O7" s="10">
        <f>SUM(B7:M7)</f>
        <v/>
      </c>
    </row>
    <row r="8">
      <c r="A8" s="3" t="inlineStr">
        <is>
          <t>— Магазин (валовая)</t>
        </is>
      </c>
      <c r="B8" s="14">
        <f>BB1-B7</f>
        <v/>
      </c>
      <c r="C8" s="14">
        <f>BC1-C7</f>
        <v/>
      </c>
      <c r="D8" s="15">
        <f>BD1-D7</f>
        <v/>
      </c>
      <c r="E8" s="15">
        <f>BE1-E7</f>
        <v/>
      </c>
      <c r="F8" s="15">
        <f>BF1-F7</f>
        <v/>
      </c>
      <c r="G8" s="15">
        <f>BG1-G7</f>
        <v/>
      </c>
      <c r="H8" s="15">
        <f>BH1-H7</f>
        <v/>
      </c>
      <c r="I8" s="15">
        <f>BI1-I7</f>
        <v/>
      </c>
      <c r="J8" s="15">
        <f>BJ1-J7</f>
        <v/>
      </c>
      <c r="K8" s="15">
        <f>BK1-K7</f>
        <v/>
      </c>
      <c r="L8" s="15">
        <f>BL1-L7</f>
        <v/>
      </c>
      <c r="M8" s="15">
        <f>BM1-M7</f>
        <v/>
      </c>
      <c r="N8" s="15">
        <f>BN1-N7</f>
        <v/>
      </c>
    </row>
    <row r="9">
      <c r="B9" s="3">
        <f>B8</f>
        <v/>
      </c>
      <c r="C9" s="10">
        <f>B9+C8</f>
        <v/>
      </c>
      <c r="D9" s="10">
        <f>C9+D8</f>
        <v/>
      </c>
      <c r="E9" s="10">
        <f>D9+E8</f>
        <v/>
      </c>
      <c r="F9" s="10">
        <f>E9+F8</f>
        <v/>
      </c>
      <c r="G9" s="10">
        <f>F9+G8</f>
        <v/>
      </c>
      <c r="H9" s="10">
        <f>G9+H8</f>
        <v/>
      </c>
      <c r="I9" s="10">
        <f>H9+I8</f>
        <v/>
      </c>
      <c r="J9" s="10">
        <f>I9+J8</f>
        <v/>
      </c>
      <c r="K9" s="10">
        <f>J9+K8</f>
        <v/>
      </c>
      <c r="L9" s="10">
        <f>K9+L8</f>
        <v/>
      </c>
      <c r="M9" s="10">
        <f>L9+M8</f>
        <v/>
      </c>
      <c r="N9" s="10">
        <f>M9+N8</f>
        <v/>
      </c>
      <c r="O9" s="10">
        <f>SUM(B9:M9)</f>
        <v/>
      </c>
    </row>
    <row r="10">
      <c r="A10" s="3" t="inlineStr">
        <is>
          <t>Расходы всего</t>
        </is>
      </c>
      <c r="B10" s="3" t="n">
        <v>380000</v>
      </c>
      <c r="C10" s="3" t="n">
        <v>390000</v>
      </c>
      <c r="D10" s="3" t="n">
        <v>400000</v>
      </c>
      <c r="E10" s="3" t="n">
        <v>410000</v>
      </c>
      <c r="F10" s="3" t="n">
        <v>420000</v>
      </c>
      <c r="G10" s="3" t="n">
        <v>425000</v>
      </c>
      <c r="H10" s="3" t="n">
        <v>430000</v>
      </c>
      <c r="I10" s="3" t="n">
        <v>435000</v>
      </c>
      <c r="J10" s="3" t="n">
        <v>440000</v>
      </c>
      <c r="K10" s="3" t="n">
        <v>445000</v>
      </c>
      <c r="L10" s="3" t="n">
        <v>448000</v>
      </c>
      <c r="M10" s="3" t="n">
        <v>450000</v>
      </c>
    </row>
    <row r="11">
      <c r="A11" s="3" t="inlineStr">
        <is>
          <t>Прибыль/убыток</t>
        </is>
      </c>
    </row>
    <row r="12">
      <c r="A12" t="inlineStr">
        <is>
          <t>Накопленный результат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KPI и метрики успеха</t>
        </is>
      </c>
    </row>
    <row r="3">
      <c r="A3" s="2" t="inlineStr">
        <is>
          <t>Показатель</t>
        </is>
      </c>
      <c r="B3" s="2" t="inlineStr">
        <is>
          <t>Месяц 1</t>
        </is>
      </c>
      <c r="C3" s="2" t="inlineStr">
        <is>
          <t>Месяц 3</t>
        </is>
      </c>
      <c r="D3" s="2" t="inlineStr">
        <is>
          <t>Месяц 6</t>
        </is>
      </c>
      <c r="E3" s="2" t="inlineStr">
        <is>
          <t>Месяц 12</t>
        </is>
      </c>
      <c r="F3" s="2" t="inlineStr">
        <is>
          <t>Цель</t>
        </is>
      </c>
      <c r="G3" s="2">
        <f>IF(E3&gt;=F3,"✓","✗")</f>
        <v/>
      </c>
    </row>
    <row r="4">
      <c r="A4" s="3" t="inlineStr">
        <is>
          <t>Выручка, руб.</t>
        </is>
      </c>
      <c r="B4" s="3" t="n">
        <v>200000</v>
      </c>
      <c r="C4" s="3" t="n">
        <v>400000</v>
      </c>
      <c r="D4" s="3" t="n">
        <v>650000</v>
      </c>
      <c r="E4" s="3" t="n">
        <v>800000</v>
      </c>
      <c r="F4" s="3" t="n">
        <v>800000</v>
      </c>
      <c r="G4" s="16">
        <f>IF(E4&gt;=F4,"✓","✗")</f>
        <v/>
      </c>
    </row>
    <row r="5">
      <c r="A5" s="3" t="inlineStr">
        <is>
          <t>Количество клиентов</t>
        </is>
      </c>
      <c r="B5" s="3" t="n">
        <v>30</v>
      </c>
      <c r="C5" s="3" t="n">
        <v>60</v>
      </c>
      <c r="D5" s="3" t="n">
        <v>95</v>
      </c>
      <c r="E5" s="3" t="n">
        <v>120</v>
      </c>
      <c r="F5" s="3" t="n">
        <v>120</v>
      </c>
      <c r="G5" s="16">
        <f>IF(E5&gt;=F5,"✓","✗")</f>
        <v/>
      </c>
    </row>
    <row r="6">
      <c r="A6" s="3" t="inlineStr">
        <is>
          <t>Средний чек, руб.</t>
        </is>
      </c>
      <c r="B6" s="3" t="n">
        <v>6700</v>
      </c>
      <c r="C6" s="3" t="n">
        <v>6700</v>
      </c>
      <c r="D6" s="3" t="n">
        <v>6800</v>
      </c>
      <c r="E6" s="3" t="n">
        <v>6700</v>
      </c>
      <c r="F6" s="3" t="n">
        <v>7000</v>
      </c>
      <c r="G6" s="16">
        <f>IF(E6&gt;=F6,"✓","✗")</f>
        <v/>
      </c>
    </row>
    <row r="7">
      <c r="A7" s="3" t="inlineStr">
        <is>
          <t>Конверсия сайта, %</t>
        </is>
      </c>
      <c r="B7" s="3" t="n">
        <v>1</v>
      </c>
      <c r="C7" s="3" t="n">
        <v>2</v>
      </c>
      <c r="D7" s="3" t="n">
        <v>2.5</v>
      </c>
      <c r="E7" s="3" t="n">
        <v>3</v>
      </c>
      <c r="F7" s="3" t="n">
        <v>3.5</v>
      </c>
      <c r="G7" s="16">
        <f>IF(E7&gt;=F7,"✓","✗")</f>
        <v/>
      </c>
    </row>
    <row r="8">
      <c r="A8" s="3" t="inlineStr">
        <is>
          <t>LTV (пожизненная ценность), руб.</t>
        </is>
      </c>
      <c r="B8" s="3" t="n">
        <v>15000</v>
      </c>
      <c r="C8" s="3" t="n">
        <v>20000</v>
      </c>
      <c r="D8" s="3" t="n">
        <v>25000</v>
      </c>
      <c r="E8" s="3" t="n">
        <v>30000</v>
      </c>
      <c r="F8" s="3" t="n">
        <v>35000</v>
      </c>
      <c r="G8" s="16">
        <f>IF(E8&gt;=F8,"✓","✗")</f>
        <v/>
      </c>
    </row>
    <row r="9">
      <c r="A9" s="3" t="inlineStr">
        <is>
          <t>Рентабельность, %</t>
        </is>
      </c>
      <c r="B9" s="3" t="n">
        <v>-90</v>
      </c>
      <c r="C9" s="3" t="n">
        <v>0</v>
      </c>
      <c r="D9" s="3" t="n">
        <v>35</v>
      </c>
      <c r="E9" s="3" t="n">
        <v>44</v>
      </c>
      <c r="F9" s="3" t="n">
        <v>50</v>
      </c>
    </row>
    <row r="10"/>
    <row r="11">
      <c r="A11" s="3" t="inlineStr">
        <is>
          <t>Источники трафика:</t>
        </is>
      </c>
    </row>
    <row r="12">
      <c r="A12" s="3" t="inlineStr">
        <is>
          <t>— Поисковые системы, %</t>
        </is>
      </c>
      <c r="B12" s="3" t="n">
        <v>30</v>
      </c>
      <c r="C12" s="3" t="n">
        <v>35</v>
      </c>
      <c r="D12" s="3" t="n">
        <v>40</v>
      </c>
      <c r="E12" s="3" t="n">
        <v>45</v>
      </c>
      <c r="F12" s="3" t="n">
        <v>50</v>
      </c>
    </row>
    <row r="13">
      <c r="A13" s="3" t="inlineStr">
        <is>
          <t>— Соцсети, %</t>
        </is>
      </c>
      <c r="B13" s="3" t="n">
        <v>40</v>
      </c>
      <c r="C13" s="3" t="n">
        <v>35</v>
      </c>
      <c r="D13" s="3" t="n">
        <v>30</v>
      </c>
      <c r="E13" s="3" t="n">
        <v>25</v>
      </c>
      <c r="F13" s="3" t="n">
        <v>20</v>
      </c>
    </row>
    <row r="14">
      <c r="A14" s="3" t="inlineStr">
        <is>
          <t>— Рекомендации, %</t>
        </is>
      </c>
      <c r="B14" s="3" t="n">
        <v>20</v>
      </c>
      <c r="C14" s="3" t="n">
        <v>20</v>
      </c>
      <c r="D14" s="3" t="n">
        <v>20</v>
      </c>
      <c r="E14" s="3" t="n">
        <v>20</v>
      </c>
      <c r="F14" s="3" t="n">
        <v>20</v>
      </c>
    </row>
    <row r="15">
      <c r="A15" t="inlineStr">
        <is>
          <t>— Прямые заходы, %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0" customWidth="1" min="3" max="3"/>
    <col width="18" customWidth="1" min="4" max="4"/>
    <col width="15" customWidth="1" min="5" max="5"/>
  </cols>
  <sheetData>
    <row r="1">
      <c r="A1" s="6" t="inlineStr">
        <is>
          <t>Источники финансирования</t>
        </is>
      </c>
    </row>
    <row r="3">
      <c r="A3" s="2" t="inlineStr">
        <is>
          <t>Источник</t>
        </is>
      </c>
      <c r="B3" s="2" t="inlineStr">
        <is>
          <t>Сумма (руб.)</t>
        </is>
      </c>
      <c r="C3" s="2" t="inlineStr">
        <is>
          <t>Условия</t>
        </is>
      </c>
      <c r="D3" s="2" t="inlineStr">
        <is>
          <t>Срок получения</t>
        </is>
      </c>
      <c r="E3" s="2" t="inlineStr">
        <is>
          <t>Статус</t>
        </is>
      </c>
    </row>
    <row r="4">
      <c r="A4" s="3" t="inlineStr">
        <is>
          <t>Личные средства учредителя</t>
        </is>
      </c>
      <c r="B4" s="3" t="n">
        <v>200000</v>
      </c>
      <c r="C4" s="3" t="inlineStr">
        <is>
          <t>Безвозмездно</t>
        </is>
      </c>
      <c r="D4" s="3" t="inlineStr">
        <is>
          <t>Немедленно</t>
        </is>
      </c>
      <c r="E4" s="3" t="inlineStr">
        <is>
          <t>Доступно</t>
        </is>
      </c>
    </row>
    <row r="5">
      <c r="A5" s="3" t="inlineStr">
        <is>
          <t>Региональный грант для ветеранов</t>
        </is>
      </c>
      <c r="B5" s="3" t="n">
        <v>300000</v>
      </c>
      <c r="C5" s="3" t="inlineStr">
        <is>
          <t>Безвозмездно, софинансирование 25%</t>
        </is>
      </c>
      <c r="D5" s="3" t="inlineStr">
        <is>
          <t>2–3 месяца</t>
        </is>
      </c>
      <c r="E5" s="3" t="inlineStr">
        <is>
          <t>На подаче</t>
        </is>
      </c>
    </row>
    <row r="6">
      <c r="A6" s="3" t="inlineStr">
        <is>
          <t>Соцконтракт (Московская область)</t>
        </is>
      </c>
      <c r="B6" s="10">
        <f>SUM(B2:B5)</f>
        <v/>
      </c>
      <c r="C6" s="3" t="inlineStr">
        <is>
          <t>Безвозмездно</t>
        </is>
      </c>
      <c r="D6" s="3" t="inlineStr">
        <is>
          <t>1–2 месяца</t>
        </is>
      </c>
      <c r="E6" s="3" t="inlineStr">
        <is>
          <t>На подаче</t>
        </is>
      </c>
    </row>
    <row r="7">
      <c r="A7" s="3" t="inlineStr">
        <is>
          <t>Льготный заём «Мой бизнес»</t>
        </is>
      </c>
      <c r="B7" s="3" t="n">
        <v>500000</v>
      </c>
      <c r="C7" s="3" t="inlineStr">
        <is>
          <t>Ставка ~5–7%, отсрочка 6 мес.</t>
        </is>
      </c>
      <c r="D7" s="3" t="inlineStr">
        <is>
          <t>1 месяц</t>
        </is>
      </c>
      <c r="E7" s="3" t="inlineStr">
        <is>
          <t>Резерв</t>
        </is>
      </c>
    </row>
    <row r="8">
      <c r="A8" s="3" t="inlineStr">
        <is>
          <t>ИТОГО доступно</t>
        </is>
      </c>
      <c r="C8" s="3" t="inlineStr"/>
      <c r="D8" s="3" t="inlineStr"/>
      <c r="E8" s="3" t="inlineStr"/>
    </row>
    <row r="9"/>
    <row r="10">
      <c r="A10" s="3" t="inlineStr">
        <is>
          <t>Потребность в финансировании:</t>
        </is>
      </c>
      <c r="B10" s="10">
        <f>B8+B9</f>
        <v/>
      </c>
    </row>
    <row r="11">
      <c r="A11" s="3" t="inlineStr">
        <is>
          <t>Стартовые вложения</t>
        </is>
      </c>
      <c r="B11" s="3" t="n">
        <v>500000</v>
      </c>
      <c r="C11" s="3" t="inlineStr">
        <is>
          <t>Единовременно</t>
        </is>
      </c>
      <c r="D11" s="3" t="inlineStr"/>
      <c r="E11" s="3" t="inlineStr"/>
    </row>
    <row r="12">
      <c r="A12" s="3" t="inlineStr">
        <is>
          <t>Резерв на 2 месяца работы</t>
        </is>
      </c>
      <c r="B12" s="5">
        <f>B6-B10</f>
        <v/>
      </c>
      <c r="C12" s="3" t="inlineStr">
        <is>
          <t>2 × 400 000 руб./мес.</t>
        </is>
      </c>
      <c r="D12" s="3" t="inlineStr"/>
      <c r="E12" s="3" t="inlineStr"/>
    </row>
    <row r="13">
      <c r="A13" t="inlineStr">
        <is>
          <t>ВСЕГО потребность</t>
        </is>
      </c>
      <c r="C13" t="inlineStr"/>
      <c r="D13" t="inlineStr"/>
      <c r="E13" t="inlineStr"/>
    </row>
    <row r="15">
      <c r="A15" t="inlineStr">
        <is>
          <t>Профицит/дефицит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2026-03-23T12:20:50Z</dcterms:created>
  <dcterms:modified xmlns:dcterms="http://purl.org/dc/terms/" xmlns:xsi="http://www.w3.org/2001/XMLSchema-instance" xsi:type="dcterms:W3CDTF">2026-03-23T12:20:50Z</dcterms:modified>
</cp:coreProperties>
</file>